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Data" sheetId="2" r:id="rId2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<sst xmlns="http://schemas.openxmlformats.org/spreadsheetml/2006/main" count="19" uniqueCount="19">
  <si>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Region</t>
  </si>
  <si>
    <t>Product</t>
  </si>
  <si>
    <t>Units</t>
  </si>
  <si>
    <t>Price</t>
  </si>
  <si>
    <t>Revenue</t>
  </si>
  <si>
    <t>North</t>
  </si>
  <si>
    <t>Widget</t>
  </si>
  <si>
    <t>South</t>
  </si>
  <si>
    <t>East</t>
  </si>
  <si>
    <t>West</t>
  </si>
  <si>
    <t>Gadget</t>
  </si>
  <si>
    <t>Gizmo</t>
  </si>
  <si>
    <t>SALES DASHBOARD — FY 2026</t>
  </si>
  <si>
    <t>Total Revenue</t>
  </si>
  <si>
    <t>Top Region</t>
  </si>
  <si>
    <t>Top Product</t>
  </si>
  <si>
    <t>Region Lookup</t>
  </si>
  <si>
    <t>Region:</t>
  </si>
  <si>
    <t>Revenue:</t>
  </si>
</sst>
</file>

<file path=xl/styles.xml><?xml version="1.0" encoding="utf-8"?>
<styleSheet xmlns="http://schemas.openxmlformats.org/spreadsheetml/2006/main">
  <numFmts count="1">
    <numFmt numFmtId="45" formatCode="$#,##0"/>
  </numFmts>
  <fonts count="8">
    <font>
      <sz val="13"/>
      <color rgb="FF000000"/>
      <name val="Calibri"/>
      <family val="2"/>
      <scheme val="minor"/>
    </font>
    <font>
      <sz val="11"/>
      <color rgb="FFFFFFFF"/>
      <name val="Calibri"/>
      <b/>
      <family val="2"/>
      <scheme val="minor"/>
    </font>
    <font>
      <sz val="18"/>
      <color rgb="FFFFFFFF"/>
      <name val="Calibri"/>
      <b/>
      <family val="2"/>
      <scheme val="minor"/>
    </font>
    <font>
      <sz val="13"/>
      <color rgb="FF1F3864"/>
      <name val="Calibri"/>
      <b/>
      <family val="2"/>
      <scheme val="minor"/>
    </font>
    <font>
      <sz val="14"/>
      <color rgb="FF1F3864"/>
      <name val="Calibri"/>
      <b/>
      <family val="2"/>
      <scheme val="minor"/>
    </font>
    <font>
      <sz val="12"/>
      <color rgb="FF000000"/>
      <name val="Calibri"/>
      <b/>
      <family val="2"/>
      <scheme val="minor"/>
    </font>
    <font>
      <sz val="13"/>
      <color rgb="FF000000"/>
      <name val="Calibri"/>
      <b/>
      <family val="2"/>
      <scheme val="minor"/>
    </font>
    <font>
      <sz val="13"/>
      <color rgb="FF006100"/>
      <name val="Calibri"/>
      <b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1F8"/>
        <bgColor rgb="FFEBF1F8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8">
    <xf xfId="0" borderId="0" fillId="0" fontId="0" numFmtId="0"/>
    <xf xfId="0" borderId="0" fillId="2" fontId="1" numFmtId="0">
      <alignment horizontal="center" vertical="center"/>
    </xf>
    <xf xfId="0" borderId="0" fillId="3" fontId="0" numFmtId="0"/>
    <xf xfId="0" borderId="0" fillId="3" fontId="0" numFmtId="3">
      <alignment horizontal="right"/>
    </xf>
    <xf xfId="0" borderId="0" fillId="3" fontId="0" numFmtId="45">
      <alignment horizontal="right"/>
    </xf>
    <xf xfId="0" borderId="0" fillId="0" fontId="0" numFmtId="45"/>
    <xf xfId="0" borderId="0" fillId="0" fontId="0" numFmtId="3">
      <alignment horizontal="right"/>
    </xf>
    <xf xfId="0" borderId="0" fillId="0" fontId="0" numFmtId="45">
      <alignment horizontal="right"/>
    </xf>
    <xf xfId="0" borderId="0" fillId="2" fontId="2" numFmtId="0">
      <alignment horizontal="center" vertical="center"/>
    </xf>
    <xf xfId="0" borderId="0" fillId="2" fontId="0" numFmtId="0"/>
    <xf xfId="0" borderId="0" fillId="4" fontId="3" numFmtId="0">
      <alignment horizontal="center" vertical="center"/>
    </xf>
    <xf xfId="0" borderId="0" fillId="4" fontId="0" numFmtId="0"/>
    <xf xfId="0" borderId="0" fillId="5" fontId="4" numFmtId="45">
      <alignment horizontal="center" vertical="center"/>
    </xf>
    <xf xfId="0" borderId="0" fillId="5" fontId="0" numFmtId="0"/>
    <xf xfId="0" borderId="0" fillId="0" fontId="5" numFmtId="0"/>
    <xf xfId="0" borderId="0" fillId="0" fontId="6" numFmtId="0"/>
    <xf xfId="0" borderId="0" fillId="6" fontId="0" numFmtId="0"/>
    <xf xfId="0" borderId="0" fillId="0" fontId="7" numFmtId="45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 showGridLines="0" tabSelected="1">
      <selection activeCell="A1" sqref="A1"/>
    </sheetView>
  </sheetViews>
  <cols>
    <col min="1" max="1" width="1.5" customWidth="1"/>
    <col min="2" max="2" width="1.3333333333333333" customWidth="1"/>
    <col min="3" max="3" width="1.3333333333333333" customWidth="1"/>
    <col min="4" max="4" width="1.3333333333333333" customWidth="1"/>
    <col min="5" max="5" width="1.3333333333333333" customWidth="1"/>
    <col min="6" max="6" width="1.3333333333333333" customWidth="1"/>
    <col min="7" max="7" width="1.3333333333333333" customWidth="1"/>
  </cols>
  <sheetData>
    <row r="1" s="0" ht="18" customHeight="1" customFormat="0">
      <c r="A1" t="s" s="8">
        <v>12</v>
      </c>
      <c r="B1" s="9"/>
      <c r="C1" s="9"/>
      <c r="D1" s="9"/>
      <c r="E1" s="9"/>
      <c r="F1" s="9"/>
      <c r="G1" s="9"/>
    </row>
    <row r="3" s="0" ht="11" customHeight="1" customFormat="0">
      <c r="A3" t="s" s="10">
        <v>13</v>
      </c>
      <c r="B3" s="11"/>
      <c r="C3" t="s" s="10">
        <v>14</v>
      </c>
      <c r="D3" s="11"/>
      <c r="E3" t="s" s="10">
        <v>15</v>
      </c>
      <c r="F3" s="11"/>
    </row>
    <row r="4" s="0" ht="14" customHeight="1" customFormat="0">
      <c r="A4" s="12">
        <f>SUM(Data!E2:E9)</f>
        <v>99125</v>
      </c>
      <c r="B4" s="13"/>
      <c r="C4" s="12" t="str" cm="1">
        <f t="array" ref="C4:C4">INDEX(Data!A2:A9,MATCH(MAX(Data!E2:E9),Data!E2:E9,0))</f>
        <v>West</v>
      </c>
      <c r="D4" s="13"/>
      <c r="E4" s="12" t="str" cm="1">
        <f t="array" ref="E4:E4">INDEX(Data!B2:B9,MATCH(MAX(Data!E2:E9),Data!E2:E9,0))</f>
        <v>Gizmo</v>
      </c>
      <c r="F4" s="13"/>
    </row>
    <row r="8" s="0" ht="12" customHeight="1" customFormat="0">
      <c r="A8" t="s" s="14">
        <v>16</v>
      </c>
    </row>
    <row r="9" s="0" ht="11" customHeight="1" customFormat="0">
      <c r="A9" t="s" s="15">
        <v>17</v>
      </c>
      <c r="B9" t="s" s="16">
        <v>5</v>
      </c>
    </row>
    <row r="10" s="0" ht="11" customHeight="1" customFormat="0">
      <c r="A10" t="s" s="15">
        <v>18</v>
      </c>
      <c r="B10" s="17">
        <f>SUMIFS(Data!E:E,Data!A:A,B9)</f>
        <v>19200</v>
      </c>
    </row>
  </sheetData>
  <mergeCells count="7">
    <mergeCell ref="A1:G1"/>
    <mergeCell ref="A3:B3"/>
    <mergeCell ref="A4:B4"/>
    <mergeCell ref="C3:D3"/>
    <mergeCell ref="C4:D4"/>
    <mergeCell ref="E3:F3"/>
    <mergeCell ref="E4:F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 showGridLines="0">
      <selection activeCell="A1" sqref="A1"/>
    </sheetView>
  </sheetViews>
  <cols>
    <col min="1" max="1" width="1" customWidth="1"/>
    <col min="2" max="2" width="1" customWidth="1"/>
    <col min="3" max="3" width="0.8333333333333334" customWidth="1"/>
    <col min="4" max="4" width="0.8333333333333334" customWidth="1"/>
    <col min="5" max="5" width="1.1666666666666667" customWidth="1"/>
  </cols>
  <sheetData>
    <row r="1" s="0" ht="11" customHeight="1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="0" ht="10" customHeight="1" customFormat="0">
      <c r="A2" t="s" s="2">
        <v>5</v>
      </c>
      <c r="B2" t="s" s="2">
        <v>6</v>
      </c>
      <c r="C2" s="3">
        <v>320</v>
      </c>
      <c r="D2" s="4">
        <v>25</v>
      </c>
      <c r="E2" s="4">
        <f>C2*D2</f>
        <v>8000</v>
      </c>
    </row>
    <row r="3" s="0" ht="10" customHeight="1" customFormat="0">
      <c r="A3" t="s">
        <v>7</v>
      </c>
      <c r="B3" t="s">
        <v>6</v>
      </c>
      <c r="C3" s="6">
        <v>180</v>
      </c>
      <c r="D3" s="7">
        <v>25</v>
      </c>
      <c r="E3" s="7">
        <f>C3*D3</f>
        <v>4500</v>
      </c>
    </row>
    <row r="4" s="0" ht="10" customHeight="1" customFormat="0">
      <c r="A4" t="s" s="2">
        <v>8</v>
      </c>
      <c r="B4" t="s" s="2">
        <v>6</v>
      </c>
      <c r="C4" s="3">
        <v>410</v>
      </c>
      <c r="D4" s="4">
        <v>25</v>
      </c>
      <c r="E4" s="4">
        <f>C4*D4</f>
        <v>10250</v>
      </c>
    </row>
    <row r="5" s="0" ht="10" customHeight="1" customFormat="0">
      <c r="A5" t="s">
        <v>9</v>
      </c>
      <c r="B5" t="s">
        <v>6</v>
      </c>
      <c r="C5" s="6">
        <v>95</v>
      </c>
      <c r="D5" s="7">
        <v>25</v>
      </c>
      <c r="E5" s="7">
        <f>C5*D5</f>
        <v>2375</v>
      </c>
    </row>
    <row r="6" s="0" ht="10" customHeight="1" customFormat="0">
      <c r="A6" t="s" s="2">
        <v>5</v>
      </c>
      <c r="B6" t="s" s="2">
        <v>10</v>
      </c>
      <c r="C6" s="3">
        <v>140</v>
      </c>
      <c r="D6" s="4">
        <v>80</v>
      </c>
      <c r="E6" s="4">
        <f>C6*D6</f>
        <v>11200</v>
      </c>
    </row>
    <row r="7" s="0" ht="10" customHeight="1" customFormat="0">
      <c r="A7" t="s">
        <v>7</v>
      </c>
      <c r="B7" t="s">
        <v>10</v>
      </c>
      <c r="C7" s="6">
        <v>260</v>
      </c>
      <c r="D7" s="7">
        <v>80</v>
      </c>
      <c r="E7" s="7">
        <f>C7*D7</f>
        <v>20800</v>
      </c>
    </row>
    <row r="8" s="0" ht="10" customHeight="1" customFormat="0">
      <c r="A8" t="s" s="2">
        <v>8</v>
      </c>
      <c r="B8" t="s" s="2">
        <v>11</v>
      </c>
      <c r="C8" s="3">
        <v>60</v>
      </c>
      <c r="D8" s="4">
        <v>150</v>
      </c>
      <c r="E8" s="4">
        <f>C8*D8</f>
        <v>9000</v>
      </c>
    </row>
    <row r="9" s="0" ht="10" customHeight="1" customFormat="0">
      <c r="A9" t="s">
        <v>9</v>
      </c>
      <c r="B9" t="s">
        <v>11</v>
      </c>
      <c r="C9" s="6">
        <v>220</v>
      </c>
      <c r="D9" s="7">
        <v>150</v>
      </c>
      <c r="E9" s="7">
        <f>C9*D9</f>
        <v>33000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2026-05-27T15:51:22Z</dcterms:created>
  <dcterms:modified xsi:type="dcterms:W3CDTF">2026-05-27T15:51:22Z</dcterms:modified>
  <cp:category/>
  <cp:contentStatus/>
</cp:coreProperties>
</file>