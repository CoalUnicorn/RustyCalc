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orensics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<sst xmlns="http://schemas.openxmlformats.org/spreadsheetml/2006/main" count="18" uniqueCount="18">
  <si>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REVENUE FORENSICS — SUMPRODUCT RECONCILIATION</t>
  </si>
  <si>
    <t>Source Data</t>
  </si>
  <si>
    <t>Region</t>
  </si>
  <si>
    <t>Product</t>
  </si>
  <si>
    <t>Units</t>
  </si>
  <si>
    <t>Price</t>
  </si>
  <si>
    <t>North</t>
  </si>
  <si>
    <t>Widget</t>
  </si>
  <si>
    <t>Gadget</t>
  </si>
  <si>
    <t>South</t>
  </si>
  <si>
    <t>Gizmo</t>
  </si>
  <si>
    <t>East</t>
  </si>
  <si>
    <t>West</t>
  </si>
  <si>
    <t>TOP LINE — SUMPRODUCT(Units, Price)</t>
  </si>
  <si>
    <t>TIER 1 — by Region</t>
  </si>
  <si>
    <t>Tier 1 subtotal</t>
  </si>
  <si>
    <t>TIER 2 — by Product</t>
  </si>
  <si>
    <t>Tier 2 subtotal</t>
  </si>
</sst>
</file>

<file path=xl/styles.xml><?xml version="1.0" encoding="utf-8"?>
<styleSheet xmlns="http://schemas.openxmlformats.org/spreadsheetml/2006/main">
  <numFmts count="1">
    <numFmt numFmtId="45" formatCode="$#,##0"/>
  </numFmts>
  <fonts count="8">
    <font>
      <sz val="13"/>
      <color rgb="FF000000"/>
      <name val="Calibri"/>
      <family val="2"/>
      <scheme val="minor"/>
    </font>
    <font>
      <sz val="16"/>
      <color rgb="FFFFFFFF"/>
      <name val="Calibri"/>
      <b/>
      <family val="2"/>
      <scheme val="minor"/>
    </font>
    <font>
      <sz val="12"/>
      <color rgb="FF1F3864"/>
      <name val="Calibri"/>
      <b/>
      <family val="2"/>
      <scheme val="minor"/>
    </font>
    <font>
      <sz val="10"/>
      <color rgb="FFFFFFFF"/>
      <name val="Calibri"/>
      <b/>
      <family val="2"/>
      <scheme val="minor"/>
    </font>
    <font>
      <sz val="14"/>
      <color rgb="FF006100"/>
      <name val="Calibri"/>
      <b/>
      <family val="2"/>
      <scheme val="minor"/>
    </font>
    <font>
      <sz val="13"/>
      <color rgb="FF000000"/>
      <name val="Calibri"/>
      <b/>
      <family val="2"/>
      <scheme val="minor"/>
    </font>
    <font>
      <sz val="13"/>
      <color rgb="FF1F3864"/>
      <name val="Calibri"/>
      <b/>
      <family val="2"/>
      <scheme val="minor"/>
    </font>
    <font>
      <sz val="13"/>
      <color rgb="FF006100"/>
      <name val="Calibri"/>
      <b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1F8"/>
        <bgColor rgb="FFEBF1F8"/>
      </patternFill>
    </fill>
    <fill>
      <patternFill patternType="solid">
        <fgColor rgb="FFD9E2F0"/>
        <bgColor rgb="FFD9E2F0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borderId="0" fillId="0" fontId="0" numFmtId="0" applyAlignment="1" applyFont="1" applyFill="1"/>
  </cellStyleXfs>
  <cellXfs count="17">
    <xf xfId="0" borderId="0" fillId="0" fontId="0" numFmtId="0"/>
    <xf xfId="0" borderId="0" fillId="2" fontId="1" numFmtId="0">
      <alignment horizontal="center" vertical="center"/>
    </xf>
    <xf xfId="0" borderId="0" fillId="2" fontId="0" numFmtId="0"/>
    <xf xfId="0" borderId="0" fillId="0" fontId="2" numFmtId="0"/>
    <xf xfId="0" borderId="0" fillId="2" fontId="3" numFmtId="0">
      <alignment horizontal="center" vertical="center"/>
    </xf>
    <xf xfId="0" borderId="0" fillId="3" fontId="0" numFmtId="0"/>
    <xf xfId="0" borderId="0" fillId="3" fontId="0" numFmtId="3">
      <alignment horizontal="right" vertical="center"/>
    </xf>
    <xf xfId="0" borderId="0" fillId="3" fontId="0" numFmtId="45">
      <alignment horizontal="right" vertical="center"/>
    </xf>
    <xf xfId="0" borderId="0" fillId="0" fontId="0" numFmtId="3">
      <alignment horizontal="right" vertical="center"/>
    </xf>
    <xf xfId="0" borderId="0" fillId="0" fontId="0" numFmtId="45">
      <alignment horizontal="right" vertical="center"/>
    </xf>
    <xf xfId="0" borderId="1" fillId="4" fontId="4" numFmtId="45">
      <alignment horizontal="right" vertical="center"/>
    </xf>
    <xf xfId="0" borderId="0" fillId="5" fontId="2" numFmtId="0"/>
    <xf xfId="0" borderId="0" fillId="5" fontId="0" numFmtId="0"/>
    <xf xfId="0" borderId="0" fillId="0" fontId="5" numFmtId="0"/>
    <xf xfId="0" borderId="0" fillId="0" fontId="6" numFmtId="0"/>
    <xf xfId="0" borderId="0" fillId="0" fontId="0" numFmtId="45"/>
    <xf xfId="0" borderId="2" fillId="6" fontId="7" numFmtId="45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 showGridLines="0" tabSelected="1">
      <selection activeCell="A1" sqref="A1"/>
    </sheetView>
  </sheetViews>
  <cols>
    <col min="1" max="1" width="1.5" customWidth="1"/>
    <col min="2" max="2" width="1.1666666666666667" customWidth="1"/>
    <col min="3" max="3" width="0.8333333333333334" customWidth="1"/>
    <col min="4" max="4" width="0.8333333333333334" customWidth="1"/>
    <col min="5" max="5" width="1.3333333333333333" customWidth="1"/>
  </cols>
  <sheetData>
    <row r="1" s="0" ht="16" customHeight="1" customFormat="0">
      <c r="A1" t="s" s="1">
        <v>0</v>
      </c>
      <c r="B1" s="2"/>
      <c r="C1" s="2"/>
      <c r="D1" s="2"/>
      <c r="E1" s="2"/>
    </row>
    <row r="3">
      <c r="A3" t="s" s="4">
        <v>2</v>
      </c>
      <c r="B3" t="s" s="4">
        <v>3</v>
      </c>
      <c r="C3" t="s" s="4">
        <v>4</v>
      </c>
      <c r="D3" t="s" s="4">
        <v>5</v>
      </c>
    </row>
    <row r="4" s="0" ht="10" customHeight="1" customFormat="0">
      <c r="A4" t="s" s="5">
        <v>6</v>
      </c>
      <c r="B4" t="s" s="5">
        <v>7</v>
      </c>
      <c r="C4" s="6">
        <v>320</v>
      </c>
      <c r="D4" s="7">
        <v>25</v>
      </c>
    </row>
    <row r="5" s="0" ht="10" customHeight="1" customFormat="0">
      <c r="A5" t="s">
        <v>6</v>
      </c>
      <c r="B5" t="s">
        <v>8</v>
      </c>
      <c r="C5" s="8">
        <v>140</v>
      </c>
      <c r="D5" s="9">
        <v>80</v>
      </c>
    </row>
    <row r="6" s="0" ht="10" customHeight="1" customFormat="0">
      <c r="A6" t="s" s="5">
        <v>9</v>
      </c>
      <c r="B6" t="s" s="5">
        <v>7</v>
      </c>
      <c r="C6" s="6">
        <v>180</v>
      </c>
      <c r="D6" s="7">
        <v>25</v>
      </c>
    </row>
    <row r="7" s="0" ht="10" customHeight="1" customFormat="0">
      <c r="A7" t="s">
        <v>9</v>
      </c>
      <c r="B7" t="s">
        <v>10</v>
      </c>
      <c r="C7" s="8">
        <v>75</v>
      </c>
      <c r="D7" s="9">
        <v>150</v>
      </c>
    </row>
    <row r="8" s="0" ht="10" customHeight="1" customFormat="0">
      <c r="A8" t="s" s="5">
        <v>11</v>
      </c>
      <c r="B8" t="s" s="5">
        <v>7</v>
      </c>
      <c r="C8" s="6">
        <v>410</v>
      </c>
      <c r="D8" s="7">
        <v>25</v>
      </c>
    </row>
    <row r="9" s="0" ht="10" customHeight="1" customFormat="0">
      <c r="A9" t="s">
        <v>11</v>
      </c>
      <c r="B9" t="s">
        <v>8</v>
      </c>
      <c r="C9" s="8">
        <v>180</v>
      </c>
      <c r="D9" s="9">
        <v>80</v>
      </c>
    </row>
    <row r="10" s="0" ht="10" customHeight="1" customFormat="0">
      <c r="A10" t="s" s="5">
        <v>12</v>
      </c>
      <c r="B10" t="s" s="5">
        <v>8</v>
      </c>
      <c r="C10" s="6">
        <v>260</v>
      </c>
      <c r="D10" s="7">
        <v>80</v>
      </c>
    </row>
    <row r="11" s="0" ht="10" customHeight="1" customFormat="0">
      <c r="A11" t="s">
        <v>12</v>
      </c>
      <c r="B11" t="s">
        <v>10</v>
      </c>
      <c r="C11" s="8">
        <v>220</v>
      </c>
      <c r="D11" s="9">
        <v>150</v>
      </c>
    </row>
    <row r="13" s="0" ht="13" customHeight="1" customFormat="0">
      <c r="A13" t="s" s="3">
        <v>13</v>
      </c>
      <c r="E13" t="e" s="10">
        <f>sumproduct(C4:C11,D4:D11)</f>
        <v>#NAME?</v>
      </c>
    </row>
    <row r="16" s="0" ht="11" customHeight="1" customFormat="0">
      <c r="A16" t="s" s="11">
        <v>14</v>
      </c>
      <c r="B16" s="12"/>
      <c r="C16" s="12"/>
      <c r="D16" s="12"/>
      <c r="E16" s="12"/>
    </row>
    <row r="18" s="0" ht="10" customHeight="1" customFormat="0">
      <c r="A18" t="s" s="13">
        <v>6</v>
      </c>
      <c r="E18" t="e" s="9">
        <f>sumproduct((A4:A11="North")*C4:C11*D4:D11)</f>
        <v>#NAME?</v>
      </c>
    </row>
    <row r="19" s="0" ht="10" customHeight="1" customFormat="0">
      <c r="A19" t="s" s="13">
        <v>9</v>
      </c>
      <c r="E19" t="e" s="9">
        <f>sumproduct((A4:A11="South")*C4:C11*D4:D11)</f>
        <v>#NAME?</v>
      </c>
    </row>
    <row r="20" s="0" ht="10" customHeight="1" customFormat="0">
      <c r="A20" t="s" s="13">
        <v>11</v>
      </c>
      <c r="E20" t="e" s="9">
        <f>sumproduct((A4:A11="East")*C4:C11*D4:D11)</f>
        <v>#NAME?</v>
      </c>
    </row>
    <row r="21" s="0" ht="10" customHeight="1" customFormat="0">
      <c r="A21" t="s" s="13">
        <v>12</v>
      </c>
      <c r="E21" t="e" s="9">
        <f>sumproduct((A4:A11="West")*C4:C11*D4:D11)</f>
        <v>#NAME?</v>
      </c>
    </row>
    <row r="22" s="0" ht="10" customHeight="1" customFormat="0">
      <c r="A22" t="s" s="14">
        <v>15</v>
      </c>
      <c r="E22" t="e" s="16">
        <f>SUM(E18:E21)</f>
        <v>#NAME?</v>
      </c>
    </row>
    <row r="25" s="0" ht="11" customHeight="1" customFormat="0">
      <c r="A25" t="s" s="11">
        <v>16</v>
      </c>
      <c r="B25" s="12"/>
      <c r="C25" s="12"/>
      <c r="D25" s="12"/>
      <c r="E25" s="12"/>
    </row>
    <row r="27" s="0" ht="10" customHeight="1" customFormat="0">
      <c r="A27" t="s" s="13">
        <v>7</v>
      </c>
      <c r="E27" t="e" s="9">
        <f>sumproduct((B4:B11="Widget")*C4:C11*D4:D11)</f>
        <v>#NAME?</v>
      </c>
    </row>
    <row r="28" s="0" ht="10" customHeight="1" customFormat="0">
      <c r="A28" t="s" s="13">
        <v>8</v>
      </c>
      <c r="E28" t="e" s="9">
        <f>sumproduct((B4:B11="Gadget")*C4:C11*D4:D11)</f>
        <v>#NAME?</v>
      </c>
    </row>
    <row r="29" s="0" ht="10" customHeight="1" customFormat="0">
      <c r="A29" t="s" s="13">
        <v>10</v>
      </c>
      <c r="E29" t="e" s="9">
        <f>sumproduct((B4:B11="Gizmo")*C4:C11*D4:D11)</f>
        <v>#NAME?</v>
      </c>
    </row>
    <row r="30" s="0" ht="10" customHeight="1" customFormat="0">
      <c r="A30" t="s" s="14">
        <v>17</v>
      </c>
      <c r="E30" t="e" s="16">
        <f>SUM(E27:E29)</f>
        <v>#NAME?</v>
      </c>
    </row>
  </sheetData>
  <mergeCells count="3">
    <mergeCell ref="A1:E1"/>
    <mergeCell ref="A16:E16"/>
    <mergeCell ref="A25:E2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2026-05-27T15:51:27Z</dcterms:created>
  <dcterms:modified xsi:type="dcterms:W3CDTF">2026-05-27T15:51:27Z</dcterms:modified>
  <cp:category/>
  <cp:contentStatus/>
</cp:coreProperties>
</file>